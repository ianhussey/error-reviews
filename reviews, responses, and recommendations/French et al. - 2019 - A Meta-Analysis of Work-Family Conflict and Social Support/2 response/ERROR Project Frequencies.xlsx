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Allen Research Lab\WF World Meta\Support Meta\ERROR Project\"/>
    </mc:Choice>
  </mc:AlternateContent>
  <xr:revisionPtr revIDLastSave="0" documentId="8_{30C79B8E-2FE4-4137-BC2A-AE47CC8D6D24}" xr6:coauthVersionLast="47" xr6:coauthVersionMax="47" xr10:uidLastSave="{00000000-0000-0000-0000-000000000000}"/>
  <bookViews>
    <workbookView xWindow="28680" yWindow="-120" windowWidth="29040" windowHeight="17520" activeTab="1" xr2:uid="{9C20D27E-4423-4FEB-9C76-F25FC86F9B2F}"/>
  </bookViews>
  <sheets>
    <sheet name="Change in r freq" sheetId="1" r:id="rId1"/>
    <sheet name="Reliability composite freq" sheetId="2" r:id="rId2"/>
  </sheets>
  <definedNames>
    <definedName name="_xlchart.v1.0" hidden="1">'Change in r freq'!$A$1:$A$40</definedName>
    <definedName name="_xlchart.v1.1" hidden="1">'Change in r freq'!$A$1:$A$40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F26" i="2"/>
  <c r="H26" i="2"/>
  <c r="I26" i="2"/>
  <c r="J26" i="2"/>
  <c r="K26" i="2"/>
  <c r="E27" i="2"/>
  <c r="F27" i="2"/>
  <c r="H27" i="2"/>
  <c r="I27" i="2"/>
  <c r="J27" i="2"/>
  <c r="K27" i="2"/>
  <c r="E28" i="2"/>
  <c r="F28" i="2"/>
  <c r="H28" i="2"/>
  <c r="I28" i="2"/>
  <c r="J28" i="2"/>
  <c r="K28" i="2"/>
  <c r="D28" i="2"/>
  <c r="D27" i="2"/>
  <c r="D26" i="2"/>
  <c r="C28" i="2"/>
  <c r="C27" i="2"/>
  <c r="C26" i="2"/>
  <c r="K25" i="2"/>
  <c r="K24" i="2"/>
  <c r="K23" i="2"/>
  <c r="K22" i="2"/>
  <c r="K21" i="2"/>
  <c r="K20" i="2"/>
  <c r="K19" i="2"/>
  <c r="K18" i="2"/>
  <c r="K17" i="2"/>
  <c r="K15" i="2"/>
  <c r="K14" i="2"/>
  <c r="K13" i="2"/>
  <c r="K12" i="2"/>
  <c r="K11" i="2"/>
  <c r="K10" i="2"/>
  <c r="K9" i="2"/>
  <c r="K8" i="2"/>
  <c r="K7" i="2"/>
  <c r="K6" i="2"/>
  <c r="K5" i="2"/>
  <c r="I25" i="2"/>
  <c r="I24" i="2"/>
  <c r="I23" i="2"/>
  <c r="I22" i="2"/>
  <c r="I21" i="2"/>
  <c r="I20" i="2"/>
  <c r="I19" i="2"/>
  <c r="I18" i="2"/>
  <c r="I17" i="2"/>
  <c r="I15" i="2"/>
  <c r="I14" i="2"/>
  <c r="I13" i="2"/>
  <c r="I12" i="2"/>
  <c r="I11" i="2"/>
  <c r="I10" i="2"/>
  <c r="I9" i="2"/>
  <c r="I8" i="2"/>
  <c r="I7" i="2"/>
  <c r="I6" i="2"/>
  <c r="I5" i="2"/>
  <c r="F25" i="2"/>
  <c r="F24" i="2"/>
  <c r="F23" i="2"/>
  <c r="F22" i="2"/>
  <c r="F21" i="2"/>
  <c r="F20" i="2"/>
  <c r="F19" i="2"/>
  <c r="F18" i="2"/>
  <c r="F17" i="2"/>
  <c r="F15" i="2"/>
  <c r="F14" i="2"/>
  <c r="F13" i="2"/>
  <c r="F12" i="2"/>
  <c r="F11" i="2"/>
  <c r="F10" i="2"/>
  <c r="F9" i="2"/>
  <c r="F8" i="2"/>
  <c r="F7" i="2"/>
  <c r="F6" i="2"/>
  <c r="F5" i="2"/>
  <c r="D25" i="2"/>
  <c r="D24" i="2"/>
  <c r="D23" i="2"/>
  <c r="D22" i="2"/>
  <c r="D21" i="2"/>
  <c r="D20" i="2"/>
  <c r="D19" i="2"/>
  <c r="D18" i="2"/>
  <c r="D17" i="2"/>
  <c r="D15" i="2"/>
  <c r="D14" i="2"/>
  <c r="D13" i="2"/>
  <c r="D12" i="2"/>
  <c r="D11" i="2"/>
  <c r="D10" i="2"/>
  <c r="D9" i="2"/>
  <c r="D8" i="2"/>
  <c r="D7" i="2"/>
  <c r="D6" i="2"/>
  <c r="D5" i="2"/>
  <c r="I5" i="1" l="1"/>
</calcChain>
</file>

<file path=xl/sharedStrings.xml><?xml version="1.0" encoding="utf-8"?>
<sst xmlns="http://schemas.openxmlformats.org/spreadsheetml/2006/main" count="43" uniqueCount="29">
  <si>
    <t xml:space="preserve">Organizational </t>
  </si>
  <si>
    <t xml:space="preserve">Supervisor </t>
  </si>
  <si>
    <t xml:space="preserve">Coworker </t>
  </si>
  <si>
    <t xml:space="preserve">Mixed supervisor/coworker </t>
  </si>
  <si>
    <t xml:space="preserve">Instrumental </t>
  </si>
  <si>
    <t xml:space="preserve">Emotional support </t>
  </si>
  <si>
    <t xml:space="preserve">Mixed instrumental/emotional </t>
  </si>
  <si>
    <t xml:space="preserve">Support behaviors </t>
  </si>
  <si>
    <t xml:space="preserve">Support perceptions </t>
  </si>
  <si>
    <t xml:space="preserve">Mixed support behavior/perception </t>
  </si>
  <si>
    <t>Combined family</t>
  </si>
  <si>
    <t xml:space="preserve">General family </t>
  </si>
  <si>
    <t xml:space="preserve">Spouse </t>
  </si>
  <si>
    <t xml:space="preserve">Emotional </t>
  </si>
  <si>
    <t>Support perceptions</t>
  </si>
  <si>
    <t>Combined work</t>
  </si>
  <si>
    <t>WIF</t>
  </si>
  <si>
    <t>FIW</t>
  </si>
  <si>
    <t>RXX</t>
  </si>
  <si>
    <t>RYY</t>
  </si>
  <si>
    <t>Family Support</t>
  </si>
  <si>
    <t>Work Support</t>
  </si>
  <si>
    <t>Total N</t>
  </si>
  <si>
    <t>N Composites</t>
  </si>
  <si>
    <t>% Composites</t>
  </si>
  <si>
    <t>Minimum</t>
  </si>
  <si>
    <t>Average</t>
  </si>
  <si>
    <t>Maximum</t>
  </si>
  <si>
    <t>&lt;- Change in r from uncorrected to corrected (from manuscript Table 3 and Table 4, calculated from top to bottom of each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</si>
</sst>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0" xfId="0" applyFill="1"/>
    <xf numFmtId="2" fontId="0" fillId="2" borderId="0" xfId="0" applyNumberFormat="1" applyFill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2" fontId="0" fillId="3" borderId="0" xfId="0" applyNumberFormat="1" applyFill="1"/>
    <xf numFmtId="0" fontId="1" fillId="3" borderId="0" xfId="0" applyFont="1" applyFill="1"/>
    <xf numFmtId="2" fontId="1" fillId="3" borderId="0" xfId="0" applyNumberFormat="1" applyFont="1" applyFill="1"/>
    <xf numFmtId="1" fontId="1" fillId="3" borderId="0" xfId="0" applyNumberFormat="1" applyFont="1" applyFill="1"/>
    <xf numFmtId="1" fontId="0" fillId="0" borderId="0" xfId="0" applyNumberFormat="1"/>
    <xf numFmtId="2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Change in </a:t>
            </a:r>
            <a:r>
              <a:rPr lang="en-US" sz="1400" b="0" i="1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r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Comparing Corrected and Uncorrected Estimates</a:t>
            </a:r>
          </a:p>
        </cx:rich>
      </cx:tx>
    </cx:title>
    <cx:plotArea>
      <cx:plotAreaRegion>
        <cx:series layoutId="clusteredColumn" uniqueId="{12992D8C-AFBA-4691-BC45-4AF8C0C13DA3}"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5</xdr:row>
      <xdr:rowOff>90487</xdr:rowOff>
    </xdr:from>
    <xdr:to>
      <xdr:col>11</xdr:col>
      <xdr:colOff>457200</xdr:colOff>
      <xdr:row>19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A76A1A6-1B40-311B-5E42-AF6DCB9D38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0" y="1042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E9AF-7055-4496-A3C7-37EE8A46F159}">
  <dimension ref="A1:I40"/>
  <sheetViews>
    <sheetView workbookViewId="0">
      <selection activeCell="B25" sqref="B25"/>
    </sheetView>
  </sheetViews>
  <sheetFormatPr defaultRowHeight="15" x14ac:dyDescent="0.25"/>
  <sheetData>
    <row r="1" spans="1:9" x14ac:dyDescent="0.25">
      <c r="A1">
        <v>0.08</v>
      </c>
      <c r="B1" s="1" t="s">
        <v>28</v>
      </c>
    </row>
    <row r="2" spans="1:9" x14ac:dyDescent="0.25">
      <c r="A2">
        <v>7.0000000000000007E-2</v>
      </c>
    </row>
    <row r="3" spans="1:9" x14ac:dyDescent="0.25">
      <c r="A3">
        <v>7.0000000000000007E-2</v>
      </c>
    </row>
    <row r="4" spans="1:9" x14ac:dyDescent="0.25">
      <c r="A4">
        <v>7.0000000000000007E-2</v>
      </c>
    </row>
    <row r="5" spans="1:9" x14ac:dyDescent="0.25">
      <c r="A5">
        <v>0.06</v>
      </c>
      <c r="H5" s="1" t="s">
        <v>26</v>
      </c>
      <c r="I5">
        <f>AVERAGE(A1:A40)</f>
        <v>4.0000000000000022E-2</v>
      </c>
    </row>
    <row r="6" spans="1:9" x14ac:dyDescent="0.25">
      <c r="A6">
        <v>0.06</v>
      </c>
    </row>
    <row r="7" spans="1:9" x14ac:dyDescent="0.25">
      <c r="A7">
        <v>0.06</v>
      </c>
    </row>
    <row r="8" spans="1:9" x14ac:dyDescent="0.25">
      <c r="A8">
        <v>0.06</v>
      </c>
    </row>
    <row r="9" spans="1:9" x14ac:dyDescent="0.25">
      <c r="A9">
        <v>0.05</v>
      </c>
    </row>
    <row r="10" spans="1:9" x14ac:dyDescent="0.25">
      <c r="A10">
        <v>0.05</v>
      </c>
    </row>
    <row r="11" spans="1:9" x14ac:dyDescent="0.25">
      <c r="A11">
        <v>0.05</v>
      </c>
    </row>
    <row r="12" spans="1:9" x14ac:dyDescent="0.25">
      <c r="A12">
        <v>0.05</v>
      </c>
    </row>
    <row r="13" spans="1:9" x14ac:dyDescent="0.25">
      <c r="A13">
        <v>0.04</v>
      </c>
    </row>
    <row r="14" spans="1:9" x14ac:dyDescent="0.25">
      <c r="A14">
        <v>0.04</v>
      </c>
    </row>
    <row r="15" spans="1:9" x14ac:dyDescent="0.25">
      <c r="A15">
        <v>0.04</v>
      </c>
    </row>
    <row r="16" spans="1:9" x14ac:dyDescent="0.25">
      <c r="A16">
        <v>0.04</v>
      </c>
    </row>
    <row r="17" spans="1:1" x14ac:dyDescent="0.25">
      <c r="A17">
        <v>0.04</v>
      </c>
    </row>
    <row r="18" spans="1:1" x14ac:dyDescent="0.25">
      <c r="A18">
        <v>0.04</v>
      </c>
    </row>
    <row r="19" spans="1:1" x14ac:dyDescent="0.25">
      <c r="A19">
        <v>0.04</v>
      </c>
    </row>
    <row r="20" spans="1:1" x14ac:dyDescent="0.25">
      <c r="A20">
        <v>0.04</v>
      </c>
    </row>
    <row r="21" spans="1:1" x14ac:dyDescent="0.25">
      <c r="A21">
        <v>0.04</v>
      </c>
    </row>
    <row r="22" spans="1:1" x14ac:dyDescent="0.25">
      <c r="A22">
        <v>0.04</v>
      </c>
    </row>
    <row r="23" spans="1:1" x14ac:dyDescent="0.25">
      <c r="A23">
        <v>0.04</v>
      </c>
    </row>
    <row r="24" spans="1:1" x14ac:dyDescent="0.25">
      <c r="A24">
        <v>0.04</v>
      </c>
    </row>
    <row r="25" spans="1:1" x14ac:dyDescent="0.25">
      <c r="A25">
        <v>0.03</v>
      </c>
    </row>
    <row r="26" spans="1:1" x14ac:dyDescent="0.25">
      <c r="A26">
        <v>0.03</v>
      </c>
    </row>
    <row r="27" spans="1:1" x14ac:dyDescent="0.25">
      <c r="A27">
        <v>0.03</v>
      </c>
    </row>
    <row r="28" spans="1:1" x14ac:dyDescent="0.25">
      <c r="A28">
        <v>0.03</v>
      </c>
    </row>
    <row r="29" spans="1:1" x14ac:dyDescent="0.25">
      <c r="A29">
        <v>0.03</v>
      </c>
    </row>
    <row r="30" spans="1:1" x14ac:dyDescent="0.25">
      <c r="A30">
        <v>0.03</v>
      </c>
    </row>
    <row r="31" spans="1:1" x14ac:dyDescent="0.25">
      <c r="A31">
        <v>0.03</v>
      </c>
    </row>
    <row r="32" spans="1:1" x14ac:dyDescent="0.25">
      <c r="A32">
        <v>0.03</v>
      </c>
    </row>
    <row r="33" spans="1:1" x14ac:dyDescent="0.25">
      <c r="A33">
        <v>0.03</v>
      </c>
    </row>
    <row r="34" spans="1:1" x14ac:dyDescent="0.25">
      <c r="A34">
        <v>0.03</v>
      </c>
    </row>
    <row r="35" spans="1:1" x14ac:dyDescent="0.25">
      <c r="A35">
        <v>0.02</v>
      </c>
    </row>
    <row r="36" spans="1:1" x14ac:dyDescent="0.25">
      <c r="A36">
        <v>0.02</v>
      </c>
    </row>
    <row r="37" spans="1:1" x14ac:dyDescent="0.25">
      <c r="A37">
        <v>0.02</v>
      </c>
    </row>
    <row r="38" spans="1:1" x14ac:dyDescent="0.25">
      <c r="A38">
        <v>0.01</v>
      </c>
    </row>
    <row r="39" spans="1:1" x14ac:dyDescent="0.25">
      <c r="A39">
        <v>0.01</v>
      </c>
    </row>
    <row r="40" spans="1:1" x14ac:dyDescent="0.25">
      <c r="A40">
        <v>0.01</v>
      </c>
    </row>
  </sheetData>
  <sortState xmlns:xlrd2="http://schemas.microsoft.com/office/spreadsheetml/2017/richdata2" ref="A1:B40">
    <sortCondition descending="1" ref="A1:A4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84B-2AB0-481A-83C2-0648305120C3}">
  <dimension ref="A1:K29"/>
  <sheetViews>
    <sheetView tabSelected="1" workbookViewId="0">
      <selection sqref="A1:K28"/>
    </sheetView>
  </sheetViews>
  <sheetFormatPr defaultRowHeight="15" x14ac:dyDescent="0.25"/>
  <cols>
    <col min="1" max="1" width="32.85546875" bestFit="1" customWidth="1"/>
    <col min="2" max="2" width="7.28515625" bestFit="1" customWidth="1"/>
    <col min="3" max="3" width="13.42578125" bestFit="1" customWidth="1"/>
    <col min="4" max="4" width="13.5703125" bestFit="1" customWidth="1"/>
    <col min="5" max="5" width="13.42578125" bestFit="1" customWidth="1"/>
    <col min="6" max="6" width="13.5703125" bestFit="1" customWidth="1"/>
    <col min="8" max="8" width="13.42578125" bestFit="1" customWidth="1"/>
    <col min="9" max="9" width="13.5703125" bestFit="1" customWidth="1"/>
    <col min="10" max="10" width="13.42578125" bestFit="1" customWidth="1"/>
    <col min="11" max="11" width="13.5703125" bestFit="1" customWidth="1"/>
  </cols>
  <sheetData>
    <row r="1" spans="1:11" x14ac:dyDescent="0.25">
      <c r="B1" s="9" t="s">
        <v>16</v>
      </c>
      <c r="C1" s="9"/>
      <c r="D1" s="9"/>
      <c r="E1" s="9"/>
      <c r="F1" s="9"/>
      <c r="G1" s="3" t="s">
        <v>17</v>
      </c>
      <c r="H1" s="4"/>
      <c r="I1" s="4"/>
      <c r="J1" s="4"/>
      <c r="K1" s="4"/>
    </row>
    <row r="2" spans="1:11" x14ac:dyDescent="0.25">
      <c r="B2" s="10"/>
      <c r="C2" s="9" t="s">
        <v>18</v>
      </c>
      <c r="D2" s="9"/>
      <c r="E2" s="9" t="s">
        <v>19</v>
      </c>
      <c r="F2" s="9"/>
      <c r="G2" s="5"/>
      <c r="H2" s="4" t="s">
        <v>18</v>
      </c>
      <c r="I2" s="4"/>
      <c r="J2" s="4" t="s">
        <v>19</v>
      </c>
      <c r="K2" s="4"/>
    </row>
    <row r="3" spans="1:11" x14ac:dyDescent="0.25">
      <c r="A3" s="2"/>
      <c r="B3" s="11" t="s">
        <v>22</v>
      </c>
      <c r="C3" s="11" t="s">
        <v>23</v>
      </c>
      <c r="D3" s="11" t="s">
        <v>24</v>
      </c>
      <c r="E3" s="11" t="s">
        <v>23</v>
      </c>
      <c r="F3" s="11" t="s">
        <v>24</v>
      </c>
      <c r="G3" s="6" t="s">
        <v>22</v>
      </c>
      <c r="H3" s="6" t="s">
        <v>23</v>
      </c>
      <c r="I3" s="6" t="s">
        <v>24</v>
      </c>
      <c r="J3" s="6" t="s">
        <v>23</v>
      </c>
      <c r="K3" s="6" t="s">
        <v>24</v>
      </c>
    </row>
    <row r="4" spans="1:11" x14ac:dyDescent="0.25">
      <c r="A4" s="1" t="s">
        <v>21</v>
      </c>
      <c r="B4" s="10"/>
      <c r="C4" s="10"/>
      <c r="D4" s="10"/>
      <c r="E4" s="10"/>
      <c r="F4" s="10"/>
      <c r="G4" s="7"/>
      <c r="H4" s="7"/>
      <c r="I4" s="7"/>
      <c r="J4" s="7"/>
      <c r="K4" s="7"/>
    </row>
    <row r="5" spans="1:11" x14ac:dyDescent="0.25">
      <c r="A5" t="s">
        <v>15</v>
      </c>
      <c r="B5" s="10">
        <v>214</v>
      </c>
      <c r="C5" s="10">
        <v>27</v>
      </c>
      <c r="D5" s="12">
        <f>(C5/$B5)*100</f>
        <v>12.616822429906541</v>
      </c>
      <c r="E5" s="10">
        <v>107</v>
      </c>
      <c r="F5" s="12">
        <f>(E5/$B5)*100</f>
        <v>50</v>
      </c>
      <c r="G5" s="7">
        <v>148</v>
      </c>
      <c r="H5" s="7">
        <v>19</v>
      </c>
      <c r="I5" s="8">
        <f>(H5/$G5)*100</f>
        <v>12.837837837837837</v>
      </c>
      <c r="J5" s="7">
        <v>82</v>
      </c>
      <c r="K5" s="8">
        <f>(J5/$G5)*100</f>
        <v>55.405405405405403</v>
      </c>
    </row>
    <row r="6" spans="1:11" x14ac:dyDescent="0.25">
      <c r="A6" t="s">
        <v>0</v>
      </c>
      <c r="B6" s="10">
        <v>90</v>
      </c>
      <c r="C6" s="10">
        <v>10</v>
      </c>
      <c r="D6" s="12">
        <f t="shared" ref="D6:D25" si="0">(C6/$B6)*100</f>
        <v>11.111111111111111</v>
      </c>
      <c r="E6" s="10">
        <v>20</v>
      </c>
      <c r="F6" s="12">
        <f t="shared" ref="F6:F25" si="1">(E6/$B6)*100</f>
        <v>22.222222222222221</v>
      </c>
      <c r="G6" s="7">
        <v>71</v>
      </c>
      <c r="H6" s="7">
        <v>14</v>
      </c>
      <c r="I6" s="8">
        <f t="shared" ref="I6:K25" si="2">(H6/$G6)*100</f>
        <v>19.718309859154928</v>
      </c>
      <c r="J6" s="7">
        <v>13</v>
      </c>
      <c r="K6" s="8">
        <f t="shared" si="2"/>
        <v>18.30985915492958</v>
      </c>
    </row>
    <row r="7" spans="1:11" x14ac:dyDescent="0.25">
      <c r="A7" t="s">
        <v>1</v>
      </c>
      <c r="B7" s="10">
        <v>128</v>
      </c>
      <c r="C7" s="10">
        <v>18</v>
      </c>
      <c r="D7" s="12">
        <f t="shared" si="0"/>
        <v>14.0625</v>
      </c>
      <c r="E7" s="10">
        <v>13</v>
      </c>
      <c r="F7" s="12">
        <f t="shared" si="1"/>
        <v>10.15625</v>
      </c>
      <c r="G7" s="7">
        <v>99</v>
      </c>
      <c r="H7" s="7">
        <v>13</v>
      </c>
      <c r="I7" s="8">
        <f t="shared" si="2"/>
        <v>13.131313131313133</v>
      </c>
      <c r="J7" s="7">
        <v>8</v>
      </c>
      <c r="K7" s="8">
        <f t="shared" si="2"/>
        <v>8.0808080808080813</v>
      </c>
    </row>
    <row r="8" spans="1:11" x14ac:dyDescent="0.25">
      <c r="A8" t="s">
        <v>2</v>
      </c>
      <c r="B8" s="10">
        <v>55</v>
      </c>
      <c r="C8" s="10">
        <v>9</v>
      </c>
      <c r="D8" s="12">
        <f t="shared" si="0"/>
        <v>16.363636363636363</v>
      </c>
      <c r="E8" s="10">
        <v>3</v>
      </c>
      <c r="F8" s="12">
        <f t="shared" si="1"/>
        <v>5.4545454545454541</v>
      </c>
      <c r="G8" s="7">
        <v>28</v>
      </c>
      <c r="H8" s="7">
        <v>5</v>
      </c>
      <c r="I8" s="8">
        <f t="shared" si="2"/>
        <v>17.857142857142858</v>
      </c>
      <c r="J8" s="7">
        <v>2</v>
      </c>
      <c r="K8" s="8">
        <f t="shared" si="2"/>
        <v>7.1428571428571423</v>
      </c>
    </row>
    <row r="9" spans="1:11" x14ac:dyDescent="0.25">
      <c r="A9" t="s">
        <v>3</v>
      </c>
      <c r="B9" s="10">
        <v>33</v>
      </c>
      <c r="C9" s="10">
        <v>2</v>
      </c>
      <c r="D9" s="12">
        <f t="shared" si="0"/>
        <v>6.0606060606060606</v>
      </c>
      <c r="E9" s="10">
        <v>6</v>
      </c>
      <c r="F9" s="12">
        <f t="shared" si="1"/>
        <v>18.181818181818183</v>
      </c>
      <c r="G9" s="7">
        <v>23</v>
      </c>
      <c r="H9" s="7">
        <v>3</v>
      </c>
      <c r="I9" s="8">
        <f t="shared" si="2"/>
        <v>13.043478260869565</v>
      </c>
      <c r="J9" s="7">
        <v>5</v>
      </c>
      <c r="K9" s="8">
        <f t="shared" si="2"/>
        <v>21.739130434782609</v>
      </c>
    </row>
    <row r="10" spans="1:11" x14ac:dyDescent="0.25">
      <c r="A10" t="s">
        <v>4</v>
      </c>
      <c r="B10" s="10">
        <v>10</v>
      </c>
      <c r="C10" s="10">
        <v>1</v>
      </c>
      <c r="D10" s="12">
        <f t="shared" si="0"/>
        <v>10</v>
      </c>
      <c r="E10" s="10">
        <v>3</v>
      </c>
      <c r="F10" s="12">
        <f t="shared" si="1"/>
        <v>30</v>
      </c>
      <c r="G10" s="7">
        <v>8</v>
      </c>
      <c r="H10" s="7">
        <v>1</v>
      </c>
      <c r="I10" s="8">
        <f t="shared" si="2"/>
        <v>12.5</v>
      </c>
      <c r="J10" s="7">
        <v>2</v>
      </c>
      <c r="K10" s="8">
        <f t="shared" si="2"/>
        <v>25</v>
      </c>
    </row>
    <row r="11" spans="1:11" x14ac:dyDescent="0.25">
      <c r="A11" t="s">
        <v>5</v>
      </c>
      <c r="B11" s="10">
        <v>22</v>
      </c>
      <c r="C11" s="10">
        <v>3</v>
      </c>
      <c r="D11" s="12">
        <f t="shared" si="0"/>
        <v>13.636363636363635</v>
      </c>
      <c r="E11" s="10">
        <v>6</v>
      </c>
      <c r="F11" s="12">
        <f t="shared" si="1"/>
        <v>27.27272727272727</v>
      </c>
      <c r="G11" s="7">
        <v>14</v>
      </c>
      <c r="H11" s="7">
        <v>2</v>
      </c>
      <c r="I11" s="8">
        <f t="shared" si="2"/>
        <v>14.285714285714285</v>
      </c>
      <c r="J11" s="7">
        <v>3</v>
      </c>
      <c r="K11" s="8">
        <f t="shared" si="2"/>
        <v>21.428571428571427</v>
      </c>
    </row>
    <row r="12" spans="1:11" x14ac:dyDescent="0.25">
      <c r="A12" t="s">
        <v>6</v>
      </c>
      <c r="B12" s="10">
        <v>182</v>
      </c>
      <c r="C12" s="10">
        <v>21</v>
      </c>
      <c r="D12" s="12">
        <f t="shared" si="0"/>
        <v>11.538461538461538</v>
      </c>
      <c r="E12" s="10">
        <v>65</v>
      </c>
      <c r="F12" s="12">
        <f t="shared" si="1"/>
        <v>35.714285714285715</v>
      </c>
      <c r="G12" s="7">
        <v>127</v>
      </c>
      <c r="H12" s="7">
        <v>16</v>
      </c>
      <c r="I12" s="8">
        <f t="shared" si="2"/>
        <v>12.598425196850393</v>
      </c>
      <c r="J12" s="7">
        <v>48</v>
      </c>
      <c r="K12" s="8">
        <f t="shared" si="2"/>
        <v>37.795275590551178</v>
      </c>
    </row>
    <row r="13" spans="1:11" x14ac:dyDescent="0.25">
      <c r="A13" t="s">
        <v>7</v>
      </c>
      <c r="B13" s="10">
        <v>67</v>
      </c>
      <c r="C13" s="10">
        <v>3</v>
      </c>
      <c r="D13" s="12">
        <f t="shared" si="0"/>
        <v>4.4776119402985071</v>
      </c>
      <c r="E13" s="10">
        <v>12</v>
      </c>
      <c r="F13" s="12">
        <f t="shared" si="1"/>
        <v>17.910447761194028</v>
      </c>
      <c r="G13" s="7">
        <v>55</v>
      </c>
      <c r="H13" s="7">
        <v>3</v>
      </c>
      <c r="I13" s="8">
        <f t="shared" si="2"/>
        <v>5.4545454545454541</v>
      </c>
      <c r="J13" s="7">
        <v>11</v>
      </c>
      <c r="K13" s="8">
        <f t="shared" si="2"/>
        <v>20</v>
      </c>
    </row>
    <row r="14" spans="1:11" x14ac:dyDescent="0.25">
      <c r="A14" t="s">
        <v>8</v>
      </c>
      <c r="B14" s="10">
        <v>139</v>
      </c>
      <c r="C14" s="10">
        <v>16</v>
      </c>
      <c r="D14" s="12">
        <f t="shared" si="0"/>
        <v>11.510791366906476</v>
      </c>
      <c r="E14" s="10">
        <v>36</v>
      </c>
      <c r="F14" s="12">
        <f t="shared" si="1"/>
        <v>25.899280575539567</v>
      </c>
      <c r="G14" s="7">
        <v>94</v>
      </c>
      <c r="H14" s="7">
        <v>12</v>
      </c>
      <c r="I14" s="8">
        <f t="shared" si="2"/>
        <v>12.76595744680851</v>
      </c>
      <c r="J14" s="7">
        <v>29</v>
      </c>
      <c r="K14" s="8">
        <f t="shared" si="2"/>
        <v>30.851063829787233</v>
      </c>
    </row>
    <row r="15" spans="1:11" x14ac:dyDescent="0.25">
      <c r="A15" t="s">
        <v>9</v>
      </c>
      <c r="B15" s="10">
        <v>43</v>
      </c>
      <c r="C15" s="10">
        <v>7</v>
      </c>
      <c r="D15" s="12">
        <f t="shared" si="0"/>
        <v>16.279069767441861</v>
      </c>
      <c r="E15" s="10">
        <v>11</v>
      </c>
      <c r="F15" s="12">
        <f t="shared" si="1"/>
        <v>25.581395348837212</v>
      </c>
      <c r="G15" s="7">
        <v>34</v>
      </c>
      <c r="H15" s="7">
        <v>7</v>
      </c>
      <c r="I15" s="8">
        <f t="shared" si="2"/>
        <v>20.588235294117645</v>
      </c>
      <c r="J15" s="7">
        <v>9</v>
      </c>
      <c r="K15" s="8">
        <f t="shared" si="2"/>
        <v>26.47058823529412</v>
      </c>
    </row>
    <row r="16" spans="1:11" x14ac:dyDescent="0.25">
      <c r="A16" s="1" t="s">
        <v>20</v>
      </c>
      <c r="B16" s="10"/>
      <c r="C16" s="10"/>
      <c r="D16" s="12"/>
      <c r="E16" s="10"/>
      <c r="F16" s="12"/>
      <c r="G16" s="7"/>
      <c r="H16" s="7"/>
      <c r="I16" s="8"/>
      <c r="J16" s="7"/>
      <c r="K16" s="8"/>
    </row>
    <row r="17" spans="1:11" x14ac:dyDescent="0.25">
      <c r="A17" t="s">
        <v>10</v>
      </c>
      <c r="B17" s="10">
        <v>74</v>
      </c>
      <c r="C17" s="10">
        <v>17</v>
      </c>
      <c r="D17" s="12">
        <f t="shared" si="0"/>
        <v>22.972972972972975</v>
      </c>
      <c r="E17" s="10">
        <v>23</v>
      </c>
      <c r="F17" s="12">
        <f t="shared" si="1"/>
        <v>31.081081081081081</v>
      </c>
      <c r="G17" s="7">
        <v>60</v>
      </c>
      <c r="H17" s="7">
        <v>13</v>
      </c>
      <c r="I17" s="8">
        <f t="shared" si="2"/>
        <v>21.666666666666668</v>
      </c>
      <c r="J17" s="7">
        <v>17</v>
      </c>
      <c r="K17" s="8">
        <f t="shared" si="2"/>
        <v>28.333333333333332</v>
      </c>
    </row>
    <row r="18" spans="1:11" x14ac:dyDescent="0.25">
      <c r="A18" t="s">
        <v>11</v>
      </c>
      <c r="B18" s="10">
        <v>42</v>
      </c>
      <c r="C18" s="10">
        <v>11</v>
      </c>
      <c r="D18" s="12">
        <f t="shared" si="0"/>
        <v>26.190476190476193</v>
      </c>
      <c r="E18" s="10">
        <v>14</v>
      </c>
      <c r="F18" s="12">
        <f t="shared" si="1"/>
        <v>33.333333333333329</v>
      </c>
      <c r="G18" s="7">
        <v>37</v>
      </c>
      <c r="H18" s="7">
        <v>11</v>
      </c>
      <c r="I18" s="8">
        <f t="shared" si="2"/>
        <v>29.72972972972973</v>
      </c>
      <c r="J18" s="7">
        <v>11</v>
      </c>
      <c r="K18" s="8">
        <f t="shared" si="2"/>
        <v>29.72972972972973</v>
      </c>
    </row>
    <row r="19" spans="1:11" x14ac:dyDescent="0.25">
      <c r="A19" t="s">
        <v>12</v>
      </c>
      <c r="B19" s="10">
        <v>36</v>
      </c>
      <c r="C19" s="10">
        <v>8</v>
      </c>
      <c r="D19" s="12">
        <f t="shared" si="0"/>
        <v>22.222222222222221</v>
      </c>
      <c r="E19" s="10">
        <v>7</v>
      </c>
      <c r="F19" s="12">
        <f t="shared" si="1"/>
        <v>19.444444444444446</v>
      </c>
      <c r="G19" s="7">
        <v>26</v>
      </c>
      <c r="H19" s="7">
        <v>4</v>
      </c>
      <c r="I19" s="8">
        <f t="shared" si="2"/>
        <v>15.384615384615385</v>
      </c>
      <c r="J19" s="7">
        <v>4</v>
      </c>
      <c r="K19" s="8">
        <f t="shared" si="2"/>
        <v>15.384615384615385</v>
      </c>
    </row>
    <row r="20" spans="1:11" x14ac:dyDescent="0.25">
      <c r="A20" t="s">
        <v>4</v>
      </c>
      <c r="B20" s="10">
        <v>22</v>
      </c>
      <c r="C20" s="10">
        <v>8</v>
      </c>
      <c r="D20" s="12">
        <f t="shared" si="0"/>
        <v>36.363636363636367</v>
      </c>
      <c r="E20" s="10">
        <v>4</v>
      </c>
      <c r="F20" s="12">
        <f t="shared" si="1"/>
        <v>18.181818181818183</v>
      </c>
      <c r="G20" s="7">
        <v>15</v>
      </c>
      <c r="H20" s="7">
        <v>3</v>
      </c>
      <c r="I20" s="8">
        <f t="shared" si="2"/>
        <v>20</v>
      </c>
      <c r="J20" s="7">
        <v>2</v>
      </c>
      <c r="K20" s="8">
        <f t="shared" si="2"/>
        <v>13.333333333333334</v>
      </c>
    </row>
    <row r="21" spans="1:11" x14ac:dyDescent="0.25">
      <c r="A21" t="s">
        <v>13</v>
      </c>
      <c r="B21" s="10">
        <v>24</v>
      </c>
      <c r="C21" s="10">
        <v>4</v>
      </c>
      <c r="D21" s="12">
        <f t="shared" si="0"/>
        <v>16.666666666666664</v>
      </c>
      <c r="E21" s="10">
        <v>3</v>
      </c>
      <c r="F21" s="12">
        <f t="shared" si="1"/>
        <v>12.5</v>
      </c>
      <c r="G21" s="7">
        <v>17</v>
      </c>
      <c r="H21" s="7">
        <v>2</v>
      </c>
      <c r="I21" s="8">
        <f t="shared" si="2"/>
        <v>11.76470588235294</v>
      </c>
      <c r="J21" s="7">
        <v>1</v>
      </c>
      <c r="K21" s="8">
        <f t="shared" si="2"/>
        <v>5.8823529411764701</v>
      </c>
    </row>
    <row r="22" spans="1:11" x14ac:dyDescent="0.25">
      <c r="A22" t="s">
        <v>6</v>
      </c>
      <c r="B22" s="10">
        <v>40</v>
      </c>
      <c r="C22" s="10">
        <v>10</v>
      </c>
      <c r="D22" s="12">
        <f t="shared" si="0"/>
        <v>25</v>
      </c>
      <c r="E22" s="10">
        <v>6</v>
      </c>
      <c r="F22" s="12">
        <f t="shared" si="1"/>
        <v>15</v>
      </c>
      <c r="G22" s="7">
        <v>36</v>
      </c>
      <c r="H22" s="7">
        <v>10</v>
      </c>
      <c r="I22" s="8">
        <f t="shared" si="2"/>
        <v>27.777777777777779</v>
      </c>
      <c r="J22" s="7">
        <v>6</v>
      </c>
      <c r="K22" s="8">
        <f t="shared" si="2"/>
        <v>16.666666666666664</v>
      </c>
    </row>
    <row r="23" spans="1:11" x14ac:dyDescent="0.25">
      <c r="A23" t="s">
        <v>7</v>
      </c>
      <c r="B23" s="10">
        <v>22</v>
      </c>
      <c r="C23" s="10">
        <v>1</v>
      </c>
      <c r="D23" s="12">
        <f t="shared" si="0"/>
        <v>4.5454545454545459</v>
      </c>
      <c r="E23" s="10">
        <v>4</v>
      </c>
      <c r="F23" s="12">
        <f t="shared" si="1"/>
        <v>18.181818181818183</v>
      </c>
      <c r="G23" s="7">
        <v>17</v>
      </c>
      <c r="H23" s="7">
        <v>1</v>
      </c>
      <c r="I23" s="8">
        <f t="shared" si="2"/>
        <v>5.8823529411764701</v>
      </c>
      <c r="J23" s="7">
        <v>3</v>
      </c>
      <c r="K23" s="8">
        <f t="shared" si="2"/>
        <v>17.647058823529413</v>
      </c>
    </row>
    <row r="24" spans="1:11" x14ac:dyDescent="0.25">
      <c r="A24" t="s">
        <v>14</v>
      </c>
      <c r="B24" s="10">
        <v>22</v>
      </c>
      <c r="C24" s="10">
        <v>6</v>
      </c>
      <c r="D24" s="12">
        <f t="shared" si="0"/>
        <v>27.27272727272727</v>
      </c>
      <c r="E24" s="10">
        <v>6</v>
      </c>
      <c r="F24" s="12">
        <f t="shared" si="1"/>
        <v>27.27272727272727</v>
      </c>
      <c r="G24" s="7">
        <v>18</v>
      </c>
      <c r="H24" s="7">
        <v>6</v>
      </c>
      <c r="I24" s="8">
        <f t="shared" si="2"/>
        <v>33.333333333333329</v>
      </c>
      <c r="J24" s="7">
        <v>5</v>
      </c>
      <c r="K24" s="8">
        <f t="shared" si="2"/>
        <v>27.777777777777779</v>
      </c>
    </row>
    <row r="25" spans="1:11" x14ac:dyDescent="0.25">
      <c r="A25" t="s">
        <v>9</v>
      </c>
      <c r="B25" s="10">
        <v>27</v>
      </c>
      <c r="C25" s="10">
        <v>9</v>
      </c>
      <c r="D25" s="12">
        <f t="shared" si="0"/>
        <v>33.333333333333329</v>
      </c>
      <c r="E25" s="10">
        <v>11</v>
      </c>
      <c r="F25" s="12">
        <f t="shared" si="1"/>
        <v>40.74074074074074</v>
      </c>
      <c r="G25" s="7">
        <v>22</v>
      </c>
      <c r="H25" s="7">
        <v>6</v>
      </c>
      <c r="I25" s="8">
        <f t="shared" si="2"/>
        <v>27.27272727272727</v>
      </c>
      <c r="J25" s="7">
        <v>9</v>
      </c>
      <c r="K25" s="8">
        <f t="shared" si="2"/>
        <v>40.909090909090914</v>
      </c>
    </row>
    <row r="26" spans="1:11" x14ac:dyDescent="0.25">
      <c r="A26" s="1" t="s">
        <v>26</v>
      </c>
      <c r="B26" s="13"/>
      <c r="C26" s="14">
        <f>AVERAGE(C5:C25)</f>
        <v>9.5500000000000007</v>
      </c>
      <c r="D26" s="14">
        <f>AVERAGE(D5:D25)</f>
        <v>17.11122318911108</v>
      </c>
      <c r="E26" s="14">
        <f t="shared" ref="E26:K26" si="3">AVERAGE(E5:E25)</f>
        <v>18</v>
      </c>
      <c r="F26" s="14">
        <f t="shared" si="3"/>
        <v>24.206446788356647</v>
      </c>
      <c r="G26" s="17"/>
      <c r="H26" s="17">
        <f t="shared" si="3"/>
        <v>7.55</v>
      </c>
      <c r="I26" s="17">
        <f t="shared" si="3"/>
        <v>17.379643430636708</v>
      </c>
      <c r="J26" s="17">
        <f t="shared" si="3"/>
        <v>13.5</v>
      </c>
      <c r="K26" s="17">
        <f t="shared" si="3"/>
        <v>23.394375910111986</v>
      </c>
    </row>
    <row r="27" spans="1:11" x14ac:dyDescent="0.25">
      <c r="A27" s="1" t="s">
        <v>27</v>
      </c>
      <c r="B27" s="13"/>
      <c r="C27" s="15">
        <f>MIN(C5:C25)</f>
        <v>1</v>
      </c>
      <c r="D27" s="14">
        <f>MIN(D5:D25)</f>
        <v>4.4776119402985071</v>
      </c>
      <c r="E27" s="15">
        <f t="shared" ref="E27:K27" si="4">MIN(E5:E25)</f>
        <v>3</v>
      </c>
      <c r="F27" s="14">
        <f t="shared" si="4"/>
        <v>5.4545454545454541</v>
      </c>
      <c r="G27" s="17"/>
      <c r="H27" s="18">
        <f t="shared" si="4"/>
        <v>1</v>
      </c>
      <c r="I27" s="17">
        <f t="shared" si="4"/>
        <v>5.4545454545454541</v>
      </c>
      <c r="J27" s="18">
        <f t="shared" si="4"/>
        <v>1</v>
      </c>
      <c r="K27" s="17">
        <f t="shared" si="4"/>
        <v>5.8823529411764701</v>
      </c>
    </row>
    <row r="28" spans="1:11" x14ac:dyDescent="0.25">
      <c r="A28" s="1" t="s">
        <v>25</v>
      </c>
      <c r="B28" s="13"/>
      <c r="C28" s="15">
        <f>MAX(C5:C25)</f>
        <v>27</v>
      </c>
      <c r="D28" s="14">
        <f>MAX(D5:D25)</f>
        <v>36.363636363636367</v>
      </c>
      <c r="E28" s="15">
        <f t="shared" ref="E28:K28" si="5">MAX(E5:E25)</f>
        <v>107</v>
      </c>
      <c r="F28" s="14">
        <f t="shared" si="5"/>
        <v>50</v>
      </c>
      <c r="G28" s="17"/>
      <c r="H28" s="18">
        <f t="shared" si="5"/>
        <v>19</v>
      </c>
      <c r="I28" s="17">
        <f t="shared" si="5"/>
        <v>33.333333333333329</v>
      </c>
      <c r="J28" s="18">
        <f t="shared" si="5"/>
        <v>82</v>
      </c>
      <c r="K28" s="17">
        <f t="shared" si="5"/>
        <v>55.405405405405403</v>
      </c>
    </row>
    <row r="29" spans="1:11" x14ac:dyDescent="0.25">
      <c r="H29" s="16"/>
    </row>
  </sheetData>
  <mergeCells count="6">
    <mergeCell ref="B1:F1"/>
    <mergeCell ref="G1:K1"/>
    <mergeCell ref="C2:D2"/>
    <mergeCell ref="E2:F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in r freq</vt:lpstr>
      <vt:lpstr>Reliability composite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French,Kimberly</dc:creator>
  <cp:lastModifiedBy>French,Kimberly</cp:lastModifiedBy>
  <dcterms:created xsi:type="dcterms:W3CDTF">2025-11-13T18:17:27Z</dcterms:created>
  <dcterms:modified xsi:type="dcterms:W3CDTF">2025-11-14T20:29:15Z</dcterms:modified>
</cp:coreProperties>
</file>